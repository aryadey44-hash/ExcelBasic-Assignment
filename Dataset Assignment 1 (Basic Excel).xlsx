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IT0001\Desktop\PW Assignment\"/>
    </mc:Choice>
  </mc:AlternateContent>
  <xr:revisionPtr revIDLastSave="0" documentId="13_ncr:1_{FAD9E30D-7C23-4C81-A8FF-292BE96436D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ine Chart" sheetId="4" r:id="rId1"/>
    <sheet name="Data-Set PW" sheetId="1" r:id="rId2"/>
    <sheet name="Problem-3" sheetId="7" r:id="rId3"/>
    <sheet name="Probem-1" sheetId="8" r:id="rId4"/>
  </sheets>
  <definedNames>
    <definedName name="_xlnm._FilterDatabase" localSheetId="1" hidden="1">'Data-Set PW'!$A$1:$G$52</definedName>
  </definedNames>
  <calcPr calcId="191029"/>
  <pivotCaches>
    <pivotCache cacheId="67" r:id="rId5"/>
  </pivotCaches>
</workbook>
</file>

<file path=xl/calcChain.xml><?xml version="1.0" encoding="utf-8"?>
<calcChain xmlns="http://schemas.openxmlformats.org/spreadsheetml/2006/main">
  <c r="E3" i="7" l="1"/>
  <c r="F3" i="8"/>
  <c r="D3" i="8"/>
  <c r="D2" i="8"/>
  <c r="D1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J3" i="1"/>
  <c r="J4" i="1" l="1"/>
  <c r="J5" i="1"/>
</calcChain>
</file>

<file path=xl/sharedStrings.xml><?xml version="1.0" encoding="utf-8"?>
<sst xmlns="http://schemas.openxmlformats.org/spreadsheetml/2006/main" count="245" uniqueCount="119">
  <si>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</si>
  <si>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</si>
  <si>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</si>
  <si>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</si>
  <si>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</si>
  <si>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</si>
  <si>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</si>
  <si>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</si>
  <si>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</si>
  <si>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</si>
  <si>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</si>
  <si>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</si>
  <si>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</si>
  <si>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</si>
  <si>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</si>
  <si>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</si>
  <si>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</si>
  <si>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</si>
  <si>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</si>
  <si>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</si>
  <si>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</si>
  <si>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</si>
  <si>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</si>
  <si>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</si>
  <si>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</si>
  <si>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</si>
  <si>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</si>
  <si>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</si>
  <si>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</si>
  <si>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</si>
  <si>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</si>
  <si>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</si>
  <si>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</si>
  <si>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</si>
  <si>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</si>
  <si>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</si>
  <si>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</si>
  <si>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</si>
  <si>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</si>
  <si>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</si>
  <si>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</si>
  <si>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</si>
  <si>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</si>
  <si>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</si>
  <si>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</si>
  <si>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</si>
  <si>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</si>
  <si>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</si>
  <si>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</si>
  <si>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</si>
  <si>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</si>
  <si>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</si>
  <si>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</si>
  <si>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</si>
  <si>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</si>
  <si>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</si>
  <si>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</si>
  <si>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</si>
  <si>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</si>
  <si>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</si>
  <si>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</si>
  <si>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</si>
  <si>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</si>
  <si>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</si>
  <si>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</si>
  <si>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</si>
  <si>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</si>
  <si>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</si>
  <si>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</si>
  <si>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</si>
  <si>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</si>
  <si>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</si>
  <si>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</si>
  <si>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</si>
  <si>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</si>
  <si>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</si>
  <si>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</si>
  <si>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</si>
  <si>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</si>
  <si>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</si>
  <si>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</si>
  <si>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</si>
  <si>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</si>
  <si>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</si>
  <si>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</si>
  <si>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</si>
  <si>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</si>
  <si>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</si>
  <si>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</si>
  <si>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</si>
  <si>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</si>
  <si>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</si>
  <si>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Recorded customer's name </t>
  </si>
  <si>
    <t>Grand Total</t>
  </si>
  <si>
    <t>Row Labels</t>
  </si>
  <si>
    <t>Sum of Total Sales</t>
  </si>
  <si>
    <t>Total Sales of Notebook (North)</t>
  </si>
  <si>
    <t xml:space="preserve">Total Sales </t>
  </si>
  <si>
    <t>Total Sales (Each)</t>
  </si>
  <si>
    <t>Item</t>
  </si>
  <si>
    <t>Price</t>
  </si>
  <si>
    <t>Sales</t>
  </si>
  <si>
    <t>A</t>
  </si>
  <si>
    <t>B</t>
  </si>
  <si>
    <t>C</t>
  </si>
  <si>
    <t>Using the data below, write a formula to calculate the average sales of items priced above 100 but less than 300:</t>
  </si>
  <si>
    <t>Ans:-</t>
  </si>
  <si>
    <t>Vehicle</t>
  </si>
  <si>
    <t>Car</t>
  </si>
  <si>
    <t>Auto-Rickshaw</t>
  </si>
  <si>
    <t>Bicycle</t>
  </si>
  <si>
    <t>Relative Cell Referrencing:-</t>
  </si>
  <si>
    <t>(=B2)</t>
  </si>
  <si>
    <t>Absolute Cell Referrencing:-</t>
  </si>
  <si>
    <t>(=$B$2)</t>
  </si>
  <si>
    <t>Mixed Cell Referrencing:-</t>
  </si>
  <si>
    <t>or,</t>
  </si>
  <si>
    <t>(=B$2)or, (=$B2)</t>
  </si>
  <si>
    <t>(=AVERAGEIFS(C:C,B:B,"&gt;100",B:B,"&lt;300")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</si>
</sst>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2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b/>
      <u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color rgb="FF000000"/>
      <name val="Trim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5" fillId="2" borderId="1" xfId="0" applyFont="1" applyFill="1" applyBorder="1"/>
    <xf numFmtId="0" fontId="5" fillId="0" borderId="0" xfId="0" applyFont="1"/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0" fillId="5" borderId="0" xfId="0" applyFill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0" borderId="0" xfId="0" applyFont="1"/>
    <xf numFmtId="0" fontId="8" fillId="7" borderId="0" xfId="0" applyFont="1" applyFill="1"/>
    <xf numFmtId="0" fontId="9" fillId="8" borderId="0" xfId="0" applyFont="1" applyFill="1"/>
    <xf numFmtId="0" fontId="10" fillId="0" borderId="1" xfId="0" applyFont="1" applyBorder="1"/>
    <xf numFmtId="0" fontId="3" fillId="0" borderId="1" xfId="0" applyFont="1" applyBorder="1"/>
    <xf numFmtId="0" fontId="0" fillId="0" borderId="1" xfId="0" applyBorder="1"/>
    <xf numFmtId="0" fontId="11" fillId="0" borderId="0" xfId="0" applyFont="1"/>
  </cellXfs>
  <cellStyles count="1">
    <cellStyle name="Normal" xfId="0" builtinId="0"/>
  </cellStyles>
  <dxfs count="1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[Dataset Assignment 1.xlsx]Line Chart!PivotTable8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Sales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Chart'!$A$4:$A$54</c:f>
              <c:strCache>
                <c:ptCount val="50"/>
                <c:pt idx="0">
                  <c:v>13-01-2024</c:v>
                </c:pt>
                <c:pt idx="1">
                  <c:v>13-02-2024</c:v>
                </c:pt>
                <c:pt idx="2">
                  <c:v>14-02-2024</c:v>
                </c:pt>
                <c:pt idx="3">
                  <c:v>15-01-2024</c:v>
                </c:pt>
                <c:pt idx="4">
                  <c:v>16-02-2024</c:v>
                </c:pt>
                <c:pt idx="5">
                  <c:v>17-01-2024</c:v>
                </c:pt>
                <c:pt idx="6">
                  <c:v>17-02-2024</c:v>
                </c:pt>
                <c:pt idx="7">
                  <c:v>18-01-2024</c:v>
                </c:pt>
                <c:pt idx="8">
                  <c:v>18-02-2024</c:v>
                </c:pt>
                <c:pt idx="9">
                  <c:v>19-01-2024</c:v>
                </c:pt>
                <c:pt idx="10">
                  <c:v>19-02-2024</c:v>
                </c:pt>
                <c:pt idx="11">
                  <c:v>20-01-2024</c:v>
                </c:pt>
                <c:pt idx="12">
                  <c:v>21-02-2024</c:v>
                </c:pt>
                <c:pt idx="13">
                  <c:v>22-01-2024</c:v>
                </c:pt>
                <c:pt idx="14">
                  <c:v>22-02-2024</c:v>
                </c:pt>
                <c:pt idx="15">
                  <c:v>23-01-2024</c:v>
                </c:pt>
                <c:pt idx="16">
                  <c:v>23-02-2024</c:v>
                </c:pt>
                <c:pt idx="17">
                  <c:v>24-01-2024</c:v>
                </c:pt>
                <c:pt idx="18">
                  <c:v>25-02-2024</c:v>
                </c:pt>
                <c:pt idx="19">
                  <c:v>26-01-2024</c:v>
                </c:pt>
                <c:pt idx="20">
                  <c:v>26-02-2024</c:v>
                </c:pt>
                <c:pt idx="21">
                  <c:v>27-02-2024</c:v>
                </c:pt>
                <c:pt idx="22">
                  <c:v>28-01-2024</c:v>
                </c:pt>
                <c:pt idx="23">
                  <c:v>28-02-2024</c:v>
                </c:pt>
                <c:pt idx="24">
                  <c:v>29-01-2024</c:v>
                </c:pt>
                <c:pt idx="25">
                  <c:v>30-01-2024</c:v>
                </c:pt>
                <c:pt idx="26">
                  <c:v>02-01-2024</c:v>
                </c:pt>
                <c:pt idx="27">
                  <c:v>03-01-2024</c:v>
                </c:pt>
                <c:pt idx="28">
                  <c:v>02-02-2024</c:v>
                </c:pt>
                <c:pt idx="29">
                  <c:v>03-02-2024</c:v>
                </c:pt>
                <c:pt idx="30">
                  <c:v>02-03-2024</c:v>
                </c:pt>
                <c:pt idx="31">
                  <c:v>03-03-2024</c:v>
                </c:pt>
                <c:pt idx="32">
                  <c:v>02-04-2024</c:v>
                </c:pt>
                <c:pt idx="33">
                  <c:v>03-04-2024</c:v>
                </c:pt>
                <c:pt idx="34">
                  <c:v>01-05-2024</c:v>
                </c:pt>
                <c:pt idx="35">
                  <c:v>03-05-2024</c:v>
                </c:pt>
                <c:pt idx="36">
                  <c:v>01-06-2024</c:v>
                </c:pt>
                <c:pt idx="37">
                  <c:v>02-06-2024</c:v>
                </c:pt>
                <c:pt idx="38">
                  <c:v>03-06-2024</c:v>
                </c:pt>
                <c:pt idx="39">
                  <c:v>01-07-2024</c:v>
                </c:pt>
                <c:pt idx="40">
                  <c:v>02-07-2024</c:v>
                </c:pt>
                <c:pt idx="41">
                  <c:v>03-07-2024</c:v>
                </c:pt>
                <c:pt idx="42">
                  <c:v>01-08-2024</c:v>
                </c:pt>
                <c:pt idx="43">
                  <c:v>02-08-2024</c:v>
                </c:pt>
                <c:pt idx="44">
                  <c:v>03-08-2024</c:v>
                </c:pt>
                <c:pt idx="45">
                  <c:v>02-09-2024</c:v>
                </c:pt>
                <c:pt idx="46">
                  <c:v>01-10-2024</c:v>
                </c:pt>
                <c:pt idx="47">
                  <c:v>02-10-2024</c:v>
                </c:pt>
                <c:pt idx="48">
                  <c:v>01-11-2024</c:v>
                </c:pt>
                <c:pt idx="49">
                  <c:v>02-12-2024</c:v>
                </c:pt>
              </c:strCache>
            </c:strRef>
          </c:cat>
          <c:val>
            <c:numRef>
              <c:f>'Line Chart'!$B$4:$B$54</c:f>
              <c:numCache>
                <c:formatCode>General</c:formatCode>
                <c:ptCount val="50"/>
                <c:pt idx="0">
                  <c:v>200</c:v>
                </c:pt>
                <c:pt idx="1">
                  <c:v>320</c:v>
                </c:pt>
                <c:pt idx="2">
                  <c:v>250</c:v>
                </c:pt>
                <c:pt idx="3">
                  <c:v>180</c:v>
                </c:pt>
                <c:pt idx="4">
                  <c:v>90</c:v>
                </c:pt>
                <c:pt idx="5">
                  <c:v>550</c:v>
                </c:pt>
                <c:pt idx="6">
                  <c:v>176</c:v>
                </c:pt>
                <c:pt idx="7">
                  <c:v>400</c:v>
                </c:pt>
                <c:pt idx="8">
                  <c:v>850</c:v>
                </c:pt>
                <c:pt idx="9">
                  <c:v>200</c:v>
                </c:pt>
                <c:pt idx="10">
                  <c:v>190</c:v>
                </c:pt>
                <c:pt idx="11">
                  <c:v>280</c:v>
                </c:pt>
                <c:pt idx="12">
                  <c:v>375</c:v>
                </c:pt>
                <c:pt idx="13">
                  <c:v>700</c:v>
                </c:pt>
                <c:pt idx="14">
                  <c:v>140</c:v>
                </c:pt>
                <c:pt idx="15">
                  <c:v>280</c:v>
                </c:pt>
                <c:pt idx="16">
                  <c:v>192</c:v>
                </c:pt>
                <c:pt idx="17">
                  <c:v>300</c:v>
                </c:pt>
                <c:pt idx="18">
                  <c:v>800</c:v>
                </c:pt>
                <c:pt idx="19">
                  <c:v>125</c:v>
                </c:pt>
                <c:pt idx="20">
                  <c:v>270</c:v>
                </c:pt>
                <c:pt idx="21">
                  <c:v>525</c:v>
                </c:pt>
                <c:pt idx="22">
                  <c:v>160</c:v>
                </c:pt>
                <c:pt idx="23">
                  <c:v>150</c:v>
                </c:pt>
                <c:pt idx="24">
                  <c:v>500</c:v>
                </c:pt>
                <c:pt idx="25">
                  <c:v>150</c:v>
                </c:pt>
                <c:pt idx="26">
                  <c:v>450</c:v>
                </c:pt>
                <c:pt idx="27">
                  <c:v>208</c:v>
                </c:pt>
                <c:pt idx="28">
                  <c:v>450</c:v>
                </c:pt>
                <c:pt idx="29">
                  <c:v>700</c:v>
                </c:pt>
                <c:pt idx="30">
                  <c:v>175</c:v>
                </c:pt>
                <c:pt idx="31">
                  <c:v>200</c:v>
                </c:pt>
                <c:pt idx="32">
                  <c:v>240</c:v>
                </c:pt>
                <c:pt idx="33">
                  <c:v>425</c:v>
                </c:pt>
                <c:pt idx="34">
                  <c:v>500</c:v>
                </c:pt>
                <c:pt idx="35">
                  <c:v>95</c:v>
                </c:pt>
                <c:pt idx="36">
                  <c:v>200</c:v>
                </c:pt>
                <c:pt idx="37">
                  <c:v>550</c:v>
                </c:pt>
                <c:pt idx="38">
                  <c:v>256</c:v>
                </c:pt>
                <c:pt idx="39">
                  <c:v>375</c:v>
                </c:pt>
                <c:pt idx="40">
                  <c:v>140</c:v>
                </c:pt>
                <c:pt idx="41">
                  <c:v>600</c:v>
                </c:pt>
                <c:pt idx="42">
                  <c:v>250</c:v>
                </c:pt>
                <c:pt idx="43">
                  <c:v>400</c:v>
                </c:pt>
                <c:pt idx="44">
                  <c:v>250</c:v>
                </c:pt>
                <c:pt idx="45">
                  <c:v>110</c:v>
                </c:pt>
                <c:pt idx="46">
                  <c:v>150</c:v>
                </c:pt>
                <c:pt idx="47">
                  <c:v>216</c:v>
                </c:pt>
                <c:pt idx="48">
                  <c:v>600</c:v>
                </c:pt>
                <c:pt idx="49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9-4B80-BA54-0D3EE7B0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97823"/>
        <c:axId val="72193503"/>
      </c:lineChart>
      <c:catAx>
        <c:axId val="7219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3503"/>
        <c:crosses val="autoZero"/>
        <c:auto val="1"/>
        <c:lblAlgn val="ctr"/>
        <c:lblOffset val="100"/>
        <c:noMultiLvlLbl val="0"/>
      </c:catAx>
      <c:valAx>
        <c:axId val="721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Assignment 1.xlsx]Data-Set PW!PivotTable21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'Data-Set PW'!$J$7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'Data-Set PW'!$I$8:$I$13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'Data-Set PW'!$J$8:$J$13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5-4A58-9E3C-FB0F38D9AC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5736895"/>
        <c:axId val="75737855"/>
      </c:barChart>
      <c:catAx>
        <c:axId val="7573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37855"/>
        <c:crosses val="autoZero"/>
        <c:auto val="1"/>
        <c:lblAlgn val="ctr"/>
        <c:lblOffset val="100"/>
        <c:noMultiLvlLbl val="0"/>
      </c:catAx>
      <c:valAx>
        <c:axId val="75737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736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</xdr:row>
      <xdr:rowOff>146050</xdr:rowOff>
    </xdr:from>
    <xdr:to>
      <xdr:col>7</xdr:col>
      <xdr:colOff>692150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33A4D-D6A0-FAFD-09EA-8BC560DF7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0</xdr:row>
      <xdr:rowOff>31750</xdr:rowOff>
    </xdr:from>
    <xdr:to>
      <xdr:col>16</xdr:col>
      <xdr:colOff>479425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71A8F-D449-C65D-CB38-B43547BA5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IT0001" refreshedDate="46022.477478472225" createdVersion="8" refreshedVersion="8" minRefreshableVersion="3" recordCount="50" xr:uid="{2B7AA9C6-E4CC-4EC8-B220-0447A67E657D}">
  <cacheSource type="worksheet">
    <worksheetSource ref="A1:H51" sheet="Data-Set PW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FB0A8-49EB-4DE3-8ACA-3B0511C91812}" name="PivotTable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5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dataField="1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7" baseField="0" baseItem="0"/>
  </dataFields>
  <formats count="16">
    <format dxfId="15">
      <pivotArea field="6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6" count="0"/>
        </references>
      </pivotArea>
    </format>
    <format dxfId="5">
      <pivotArea dataOnly="0" labelOnly="1" grandRow="1" outline="0" fieldPosition="0"/>
    </format>
    <format dxfId="4">
      <pivotArea field="6" type="button" dataOnly="0" labelOnly="1" outline="0" axis="axisRow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52"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5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3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35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35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35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35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35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35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3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5"/>
          </reference>
        </references>
      </pivotArea>
    </chartFormat>
    <chartFormat chart="35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35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7"/>
          </reference>
        </references>
      </pivotArea>
    </chartFormat>
    <chartFormat chart="35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8"/>
          </reference>
        </references>
      </pivotArea>
    </chartFormat>
    <chartFormat chart="35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9"/>
          </reference>
        </references>
      </pivotArea>
    </chartFormat>
    <chartFormat chart="35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0"/>
          </reference>
        </references>
      </pivotArea>
    </chartFormat>
    <chartFormat chart="35" format="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1"/>
          </reference>
        </references>
      </pivotArea>
    </chartFormat>
    <chartFormat chart="35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2"/>
          </reference>
        </references>
      </pivotArea>
    </chartFormat>
    <chartFormat chart="35" format="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3"/>
          </reference>
        </references>
      </pivotArea>
    </chartFormat>
    <chartFormat chart="35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4"/>
          </reference>
        </references>
      </pivotArea>
    </chartFormat>
    <chartFormat chart="35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5"/>
          </reference>
        </references>
      </pivotArea>
    </chartFormat>
    <chartFormat chart="35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35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7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8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9"/>
          </reference>
        </references>
      </pivotArea>
    </chartFormat>
    <chartFormat chart="35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0"/>
          </reference>
        </references>
      </pivotArea>
    </chartFormat>
    <chartFormat chart="35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1"/>
          </reference>
        </references>
      </pivotArea>
    </chartFormat>
    <chartFormat chart="35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2"/>
          </reference>
        </references>
      </pivotArea>
    </chartFormat>
    <chartFormat chart="35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3"/>
          </reference>
        </references>
      </pivotArea>
    </chartFormat>
    <chartFormat chart="35" format="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4"/>
          </reference>
        </references>
      </pivotArea>
    </chartFormat>
    <chartFormat chart="35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5"/>
          </reference>
        </references>
      </pivotArea>
    </chartFormat>
    <chartFormat chart="35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6"/>
          </reference>
        </references>
      </pivotArea>
    </chartFormat>
    <chartFormat chart="35" format="4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7"/>
          </reference>
        </references>
      </pivotArea>
    </chartFormat>
    <chartFormat chart="35" format="4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8"/>
          </reference>
        </references>
      </pivotArea>
    </chartFormat>
    <chartFormat chart="35" format="4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9"/>
          </reference>
        </references>
      </pivotArea>
    </chartFormat>
    <chartFormat chart="35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4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064C9-0EC9-45B8-9A40-12DE19117A5A}" name="PivotTable2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7:J13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7CA2-35ED-4889-921C-236815F13C12}">
  <dimension ref="A3:B54"/>
  <sheetViews>
    <sheetView topLeftCell="A3" workbookViewId="0">
      <selection activeCell="J11" sqref="J11"/>
    </sheetView>
  </sheetViews>
  <sheetFormatPr defaultRowHeight="12.5"/>
  <cols>
    <col min="1" max="1" width="13" bestFit="1" customWidth="1"/>
    <col min="2" max="2" width="17.1796875" bestFit="1" customWidth="1"/>
    <col min="3" max="51" width="10.08984375" bestFit="1" customWidth="1"/>
    <col min="52" max="52" width="11.08984375" bestFit="1" customWidth="1"/>
  </cols>
  <sheetData>
    <row r="3" spans="1:2">
      <c r="A3" s="13" t="s">
        <v>94</v>
      </c>
      <c r="B3" s="13" t="s">
        <v>95</v>
      </c>
    </row>
    <row r="4" spans="1:2" ht="13">
      <c r="A4" s="14" t="s">
        <v>23</v>
      </c>
      <c r="B4" s="14">
        <v>200</v>
      </c>
    </row>
    <row r="5" spans="1:2" ht="13">
      <c r="A5" s="14" t="s">
        <v>59</v>
      </c>
      <c r="B5" s="14">
        <v>320</v>
      </c>
    </row>
    <row r="6" spans="1:2" ht="13">
      <c r="A6" s="14" t="s">
        <v>61</v>
      </c>
      <c r="B6" s="14">
        <v>250</v>
      </c>
    </row>
    <row r="7" spans="1:2" ht="13">
      <c r="A7" s="14" t="s">
        <v>25</v>
      </c>
      <c r="B7" s="14">
        <v>180</v>
      </c>
    </row>
    <row r="8" spans="1:2" ht="13">
      <c r="A8" s="14" t="s">
        <v>63</v>
      </c>
      <c r="B8" s="14">
        <v>90</v>
      </c>
    </row>
    <row r="9" spans="1:2" ht="13">
      <c r="A9" s="14" t="s">
        <v>27</v>
      </c>
      <c r="B9" s="14">
        <v>550</v>
      </c>
    </row>
    <row r="10" spans="1:2" ht="13">
      <c r="A10" s="14" t="s">
        <v>65</v>
      </c>
      <c r="B10" s="14">
        <v>176</v>
      </c>
    </row>
    <row r="11" spans="1:2" ht="13">
      <c r="A11" s="14" t="s">
        <v>29</v>
      </c>
      <c r="B11" s="14">
        <v>400</v>
      </c>
    </row>
    <row r="12" spans="1:2" ht="13">
      <c r="A12" s="14" t="s">
        <v>67</v>
      </c>
      <c r="B12" s="14">
        <v>850</v>
      </c>
    </row>
    <row r="13" spans="1:2" ht="13">
      <c r="A13" s="14" t="s">
        <v>31</v>
      </c>
      <c r="B13" s="14">
        <v>200</v>
      </c>
    </row>
    <row r="14" spans="1:2" ht="13">
      <c r="A14" s="14" t="s">
        <v>69</v>
      </c>
      <c r="B14" s="14">
        <v>190</v>
      </c>
    </row>
    <row r="15" spans="1:2" ht="13">
      <c r="A15" s="14" t="s">
        <v>33</v>
      </c>
      <c r="B15" s="14">
        <v>280</v>
      </c>
    </row>
    <row r="16" spans="1:2" ht="13">
      <c r="A16" s="14" t="s">
        <v>71</v>
      </c>
      <c r="B16" s="14">
        <v>375</v>
      </c>
    </row>
    <row r="17" spans="1:2" ht="13">
      <c r="A17" s="14" t="s">
        <v>35</v>
      </c>
      <c r="B17" s="14">
        <v>700</v>
      </c>
    </row>
    <row r="18" spans="1:2" ht="13">
      <c r="A18" s="14" t="s">
        <v>73</v>
      </c>
      <c r="B18" s="14">
        <v>140</v>
      </c>
    </row>
    <row r="19" spans="1:2" ht="13">
      <c r="A19" s="14" t="s">
        <v>37</v>
      </c>
      <c r="B19" s="14">
        <v>280</v>
      </c>
    </row>
    <row r="20" spans="1:2" ht="13">
      <c r="A20" s="14" t="s">
        <v>75</v>
      </c>
      <c r="B20" s="14">
        <v>192</v>
      </c>
    </row>
    <row r="21" spans="1:2" ht="13">
      <c r="A21" s="14" t="s">
        <v>39</v>
      </c>
      <c r="B21" s="14">
        <v>300</v>
      </c>
    </row>
    <row r="22" spans="1:2" ht="13">
      <c r="A22" s="14" t="s">
        <v>77</v>
      </c>
      <c r="B22" s="14">
        <v>800</v>
      </c>
    </row>
    <row r="23" spans="1:2" ht="13">
      <c r="A23" s="14" t="s">
        <v>41</v>
      </c>
      <c r="B23" s="14">
        <v>125</v>
      </c>
    </row>
    <row r="24" spans="1:2" ht="13">
      <c r="A24" s="14" t="s">
        <v>79</v>
      </c>
      <c r="B24" s="14">
        <v>270</v>
      </c>
    </row>
    <row r="25" spans="1:2" ht="13">
      <c r="A25" s="14" t="s">
        <v>81</v>
      </c>
      <c r="B25" s="14">
        <v>525</v>
      </c>
    </row>
    <row r="26" spans="1:2" ht="13">
      <c r="A26" s="14" t="s">
        <v>43</v>
      </c>
      <c r="B26" s="14">
        <v>160</v>
      </c>
    </row>
    <row r="27" spans="1:2" ht="13">
      <c r="A27" s="14" t="s">
        <v>83</v>
      </c>
      <c r="B27" s="14">
        <v>150</v>
      </c>
    </row>
    <row r="28" spans="1:2" ht="13">
      <c r="A28" s="14" t="s">
        <v>45</v>
      </c>
      <c r="B28" s="14">
        <v>500</v>
      </c>
    </row>
    <row r="29" spans="1:2" ht="13">
      <c r="A29" s="14" t="s">
        <v>47</v>
      </c>
      <c r="B29" s="14">
        <v>150</v>
      </c>
    </row>
    <row r="30" spans="1:2" ht="13">
      <c r="A30" s="15">
        <v>45293</v>
      </c>
      <c r="B30" s="14">
        <v>450</v>
      </c>
    </row>
    <row r="31" spans="1:2" ht="13">
      <c r="A31" s="15">
        <v>45294</v>
      </c>
      <c r="B31" s="14">
        <v>208</v>
      </c>
    </row>
    <row r="32" spans="1:2" ht="13">
      <c r="A32" s="15">
        <v>45324</v>
      </c>
      <c r="B32" s="14">
        <v>450</v>
      </c>
    </row>
    <row r="33" spans="1:2" ht="13">
      <c r="A33" s="15">
        <v>45325</v>
      </c>
      <c r="B33" s="14">
        <v>700</v>
      </c>
    </row>
    <row r="34" spans="1:2" ht="13">
      <c r="A34" s="15">
        <v>45353</v>
      </c>
      <c r="B34" s="14">
        <v>175</v>
      </c>
    </row>
    <row r="35" spans="1:2" ht="13">
      <c r="A35" s="15">
        <v>45354</v>
      </c>
      <c r="B35" s="14">
        <v>200</v>
      </c>
    </row>
    <row r="36" spans="1:2" ht="13">
      <c r="A36" s="15">
        <v>45384</v>
      </c>
      <c r="B36" s="14">
        <v>240</v>
      </c>
    </row>
    <row r="37" spans="1:2" ht="13">
      <c r="A37" s="15">
        <v>45385</v>
      </c>
      <c r="B37" s="14">
        <v>425</v>
      </c>
    </row>
    <row r="38" spans="1:2" ht="13">
      <c r="A38" s="15">
        <v>45413</v>
      </c>
      <c r="B38" s="14">
        <v>500</v>
      </c>
    </row>
    <row r="39" spans="1:2" ht="13">
      <c r="A39" s="15">
        <v>45415</v>
      </c>
      <c r="B39" s="14">
        <v>95</v>
      </c>
    </row>
    <row r="40" spans="1:2" ht="13">
      <c r="A40" s="15">
        <v>45444</v>
      </c>
      <c r="B40" s="14">
        <v>200</v>
      </c>
    </row>
    <row r="41" spans="1:2" ht="13">
      <c r="A41" s="15">
        <v>45445</v>
      </c>
      <c r="B41" s="14">
        <v>550</v>
      </c>
    </row>
    <row r="42" spans="1:2" ht="13">
      <c r="A42" s="15">
        <v>45446</v>
      </c>
      <c r="B42" s="14">
        <v>256</v>
      </c>
    </row>
    <row r="43" spans="1:2" ht="13">
      <c r="A43" s="15">
        <v>45474</v>
      </c>
      <c r="B43" s="14">
        <v>375</v>
      </c>
    </row>
    <row r="44" spans="1:2" ht="13">
      <c r="A44" s="15">
        <v>45475</v>
      </c>
      <c r="B44" s="14">
        <v>140</v>
      </c>
    </row>
    <row r="45" spans="1:2" ht="13">
      <c r="A45" s="15">
        <v>45476</v>
      </c>
      <c r="B45" s="14">
        <v>600</v>
      </c>
    </row>
    <row r="46" spans="1:2" ht="13">
      <c r="A46" s="15">
        <v>45505</v>
      </c>
      <c r="B46" s="14">
        <v>250</v>
      </c>
    </row>
    <row r="47" spans="1:2" ht="13">
      <c r="A47" s="15">
        <v>45506</v>
      </c>
      <c r="B47" s="14">
        <v>400</v>
      </c>
    </row>
    <row r="48" spans="1:2" ht="13">
      <c r="A48" s="15">
        <v>45507</v>
      </c>
      <c r="B48" s="14">
        <v>250</v>
      </c>
    </row>
    <row r="49" spans="1:2" ht="13">
      <c r="A49" s="15">
        <v>45537</v>
      </c>
      <c r="B49" s="14">
        <v>110</v>
      </c>
    </row>
    <row r="50" spans="1:2" ht="13">
      <c r="A50" s="15">
        <v>45566</v>
      </c>
      <c r="B50" s="14">
        <v>150</v>
      </c>
    </row>
    <row r="51" spans="1:2" ht="13">
      <c r="A51" s="15">
        <v>45567</v>
      </c>
      <c r="B51" s="14">
        <v>216</v>
      </c>
    </row>
    <row r="52" spans="1:2" ht="13">
      <c r="A52" s="15">
        <v>45597</v>
      </c>
      <c r="B52" s="14">
        <v>600</v>
      </c>
    </row>
    <row r="53" spans="1:2" ht="13">
      <c r="A53" s="15">
        <v>45628</v>
      </c>
      <c r="B53" s="14">
        <v>650</v>
      </c>
    </row>
    <row r="54" spans="1:2" ht="13">
      <c r="A54" s="14" t="s">
        <v>93</v>
      </c>
      <c r="B54" s="14">
        <v>16543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3"/>
  <sheetViews>
    <sheetView tabSelected="1" workbookViewId="0">
      <selection activeCell="J36" sqref="J36"/>
    </sheetView>
  </sheetViews>
  <sheetFormatPr defaultColWidth="12.6328125" defaultRowHeight="15.75" customHeight="1"/>
  <cols>
    <col min="1" max="1" width="9.81640625" bestFit="1" customWidth="1"/>
    <col min="2" max="2" width="16.26953125" bestFit="1" customWidth="1"/>
    <col min="3" max="3" width="8.726562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2" bestFit="1" customWidth="1"/>
    <col min="8" max="8" width="15.453125" bestFit="1" customWidth="1"/>
    <col min="9" max="9" width="13" bestFit="1" customWidth="1"/>
    <col min="10" max="11" width="17.1796875" bestFit="1" customWidth="1"/>
    <col min="12" max="12" width="15.90625" bestFit="1" customWidth="1"/>
    <col min="13" max="13" width="6.81640625" bestFit="1" customWidth="1"/>
    <col min="14" max="14" width="9.08984375" bestFit="1" customWidth="1"/>
    <col min="15" max="15" width="4.08984375" bestFit="1" customWidth="1"/>
    <col min="16" max="16" width="6" bestFit="1" customWidth="1"/>
    <col min="17" max="17" width="11.08984375" bestFit="1" customWidth="1"/>
  </cols>
  <sheetData>
    <row r="1" spans="1:10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98</v>
      </c>
    </row>
    <row r="2" spans="1:10" ht="15.75" customHeight="1">
      <c r="A2" s="10">
        <v>1001</v>
      </c>
      <c r="B2" s="10" t="s">
        <v>7</v>
      </c>
      <c r="C2" s="10" t="s">
        <v>8</v>
      </c>
      <c r="D2" s="10" t="s">
        <v>9</v>
      </c>
      <c r="E2" s="10">
        <v>10</v>
      </c>
      <c r="F2" s="10">
        <v>50</v>
      </c>
      <c r="G2" s="11">
        <v>45413</v>
      </c>
      <c r="H2" s="12">
        <f>E2*F2</f>
        <v>500</v>
      </c>
    </row>
    <row r="3" spans="1:10" ht="15.75" customHeight="1">
      <c r="A3" s="10">
        <v>1002</v>
      </c>
      <c r="B3" s="10" t="s">
        <v>10</v>
      </c>
      <c r="C3" s="10" t="s">
        <v>11</v>
      </c>
      <c r="D3" s="10" t="s">
        <v>12</v>
      </c>
      <c r="E3" s="10">
        <v>20</v>
      </c>
      <c r="F3" s="10">
        <v>10</v>
      </c>
      <c r="G3" s="11">
        <v>45444</v>
      </c>
      <c r="H3" s="12">
        <f t="shared" ref="H3:H51" si="0">E3*F3</f>
        <v>200</v>
      </c>
      <c r="I3" s="7" t="s">
        <v>92</v>
      </c>
      <c r="J3" s="6">
        <f>COUNTA(B:B)</f>
        <v>51</v>
      </c>
    </row>
    <row r="4" spans="1:10" ht="15.75" customHeight="1">
      <c r="A4" s="10">
        <v>1003</v>
      </c>
      <c r="B4" s="10" t="s">
        <v>13</v>
      </c>
      <c r="C4" s="10" t="s">
        <v>14</v>
      </c>
      <c r="D4" s="10" t="s">
        <v>15</v>
      </c>
      <c r="E4" s="10">
        <v>15</v>
      </c>
      <c r="F4" s="10">
        <v>25</v>
      </c>
      <c r="G4" s="11">
        <v>45474</v>
      </c>
      <c r="H4" s="12">
        <f t="shared" si="0"/>
        <v>375</v>
      </c>
      <c r="I4" s="7" t="s">
        <v>96</v>
      </c>
      <c r="J4" s="6">
        <f>SUMIFS(H:H,C:C,"NORTH",D:D,"Notebook")</f>
        <v>2900</v>
      </c>
    </row>
    <row r="5" spans="1:10" ht="15.75" customHeight="1">
      <c r="A5" s="10">
        <v>1004</v>
      </c>
      <c r="B5" s="10" t="s">
        <v>16</v>
      </c>
      <c r="C5" s="10" t="s">
        <v>17</v>
      </c>
      <c r="D5" s="10" t="s">
        <v>9</v>
      </c>
      <c r="E5" s="10">
        <v>5</v>
      </c>
      <c r="F5" s="10">
        <v>50</v>
      </c>
      <c r="G5" s="11">
        <v>45505</v>
      </c>
      <c r="H5" s="12">
        <f t="shared" si="0"/>
        <v>250</v>
      </c>
      <c r="I5" s="7" t="s">
        <v>97</v>
      </c>
      <c r="J5" s="6">
        <f>SUM(H:H)</f>
        <v>16543</v>
      </c>
    </row>
    <row r="6" spans="1:10" ht="15.75" customHeight="1">
      <c r="A6" s="10">
        <v>1005</v>
      </c>
      <c r="B6" s="10" t="s">
        <v>18</v>
      </c>
      <c r="C6" s="10" t="s">
        <v>8</v>
      </c>
      <c r="D6" s="10" t="s">
        <v>19</v>
      </c>
      <c r="E6" s="10">
        <v>30</v>
      </c>
      <c r="F6" s="10">
        <v>5</v>
      </c>
      <c r="G6" s="11">
        <v>45566</v>
      </c>
      <c r="H6" s="12">
        <f t="shared" si="0"/>
        <v>150</v>
      </c>
      <c r="I6" s="8"/>
    </row>
    <row r="7" spans="1:10" ht="15.75" customHeight="1">
      <c r="A7" s="10">
        <v>1006</v>
      </c>
      <c r="B7" s="10" t="s">
        <v>20</v>
      </c>
      <c r="C7" s="10" t="s">
        <v>11</v>
      </c>
      <c r="D7" s="10" t="s">
        <v>9</v>
      </c>
      <c r="E7" s="10">
        <v>12</v>
      </c>
      <c r="F7" s="10">
        <v>50</v>
      </c>
      <c r="G7" s="11">
        <v>45597</v>
      </c>
      <c r="H7" s="12">
        <f t="shared" si="0"/>
        <v>600</v>
      </c>
      <c r="I7" s="4" t="s">
        <v>94</v>
      </c>
      <c r="J7" t="s">
        <v>95</v>
      </c>
    </row>
    <row r="8" spans="1:10" ht="15.75" customHeight="1">
      <c r="A8" s="10">
        <v>1007</v>
      </c>
      <c r="B8" s="10" t="s">
        <v>21</v>
      </c>
      <c r="C8" s="10" t="s">
        <v>14</v>
      </c>
      <c r="D8" s="10" t="s">
        <v>22</v>
      </c>
      <c r="E8" s="10">
        <v>25</v>
      </c>
      <c r="F8" s="10">
        <v>8</v>
      </c>
      <c r="G8" s="10" t="s">
        <v>23</v>
      </c>
      <c r="H8" s="12">
        <f t="shared" si="0"/>
        <v>200</v>
      </c>
      <c r="I8" s="5" t="s">
        <v>22</v>
      </c>
      <c r="J8">
        <v>1928</v>
      </c>
    </row>
    <row r="9" spans="1:10" ht="15.75" customHeight="1">
      <c r="A9" s="10">
        <v>1008</v>
      </c>
      <c r="B9" s="10" t="s">
        <v>24</v>
      </c>
      <c r="C9" s="10" t="s">
        <v>17</v>
      </c>
      <c r="D9" s="10" t="s">
        <v>12</v>
      </c>
      <c r="E9" s="10">
        <v>18</v>
      </c>
      <c r="F9" s="10">
        <v>10</v>
      </c>
      <c r="G9" s="10" t="s">
        <v>25</v>
      </c>
      <c r="H9" s="12">
        <f t="shared" si="0"/>
        <v>180</v>
      </c>
      <c r="I9" s="5" t="s">
        <v>15</v>
      </c>
      <c r="J9">
        <v>3650</v>
      </c>
    </row>
    <row r="10" spans="1:10" ht="15.75" customHeight="1">
      <c r="A10" s="10">
        <v>1009</v>
      </c>
      <c r="B10" s="10" t="s">
        <v>26</v>
      </c>
      <c r="C10" s="10" t="s">
        <v>8</v>
      </c>
      <c r="D10" s="10" t="s">
        <v>15</v>
      </c>
      <c r="E10" s="10">
        <v>22</v>
      </c>
      <c r="F10" s="10">
        <v>25</v>
      </c>
      <c r="G10" s="10" t="s">
        <v>27</v>
      </c>
      <c r="H10" s="12">
        <f t="shared" si="0"/>
        <v>550</v>
      </c>
      <c r="I10" s="5" t="s">
        <v>9</v>
      </c>
      <c r="J10">
        <v>7550</v>
      </c>
    </row>
    <row r="11" spans="1:10" ht="15.75" customHeight="1">
      <c r="A11" s="10">
        <v>1010</v>
      </c>
      <c r="B11" s="10" t="s">
        <v>28</v>
      </c>
      <c r="C11" s="10" t="s">
        <v>11</v>
      </c>
      <c r="D11" s="10" t="s">
        <v>9</v>
      </c>
      <c r="E11" s="10">
        <v>8</v>
      </c>
      <c r="F11" s="10">
        <v>50</v>
      </c>
      <c r="G11" s="10" t="s">
        <v>29</v>
      </c>
      <c r="H11" s="12">
        <f t="shared" si="0"/>
        <v>400</v>
      </c>
      <c r="I11" s="5" t="s">
        <v>12</v>
      </c>
      <c r="J11">
        <v>2180</v>
      </c>
    </row>
    <row r="12" spans="1:10" ht="15.75" customHeight="1">
      <c r="A12" s="10">
        <v>1011</v>
      </c>
      <c r="B12" s="10" t="s">
        <v>30</v>
      </c>
      <c r="C12" s="10" t="s">
        <v>14</v>
      </c>
      <c r="D12" s="10" t="s">
        <v>19</v>
      </c>
      <c r="E12" s="10">
        <v>40</v>
      </c>
      <c r="F12" s="10">
        <v>5</v>
      </c>
      <c r="G12" s="10" t="s">
        <v>31</v>
      </c>
      <c r="H12" s="12">
        <f t="shared" si="0"/>
        <v>200</v>
      </c>
      <c r="I12" s="5" t="s">
        <v>19</v>
      </c>
      <c r="J12">
        <v>1235</v>
      </c>
    </row>
    <row r="13" spans="1:10" ht="15.75" customHeight="1">
      <c r="A13" s="10">
        <v>1012</v>
      </c>
      <c r="B13" s="10" t="s">
        <v>32</v>
      </c>
      <c r="C13" s="10" t="s">
        <v>17</v>
      </c>
      <c r="D13" s="10" t="s">
        <v>22</v>
      </c>
      <c r="E13" s="10">
        <v>35</v>
      </c>
      <c r="F13" s="10">
        <v>8</v>
      </c>
      <c r="G13" s="10" t="s">
        <v>33</v>
      </c>
      <c r="H13" s="12">
        <f t="shared" si="0"/>
        <v>280</v>
      </c>
      <c r="I13" s="5" t="s">
        <v>93</v>
      </c>
      <c r="J13">
        <v>16543</v>
      </c>
    </row>
    <row r="14" spans="1:10" ht="15.75" customHeight="1">
      <c r="A14" s="10">
        <v>1013</v>
      </c>
      <c r="B14" s="10" t="s">
        <v>34</v>
      </c>
      <c r="C14" s="10" t="s">
        <v>8</v>
      </c>
      <c r="D14" s="10" t="s">
        <v>9</v>
      </c>
      <c r="E14" s="10">
        <v>14</v>
      </c>
      <c r="F14" s="10">
        <v>50</v>
      </c>
      <c r="G14" s="10" t="s">
        <v>35</v>
      </c>
      <c r="H14" s="12">
        <f t="shared" si="0"/>
        <v>700</v>
      </c>
    </row>
    <row r="15" spans="1:10" ht="15.75" customHeight="1">
      <c r="A15" s="10">
        <v>1014</v>
      </c>
      <c r="B15" s="10" t="s">
        <v>36</v>
      </c>
      <c r="C15" s="10" t="s">
        <v>11</v>
      </c>
      <c r="D15" s="10" t="s">
        <v>12</v>
      </c>
      <c r="E15" s="10">
        <v>28</v>
      </c>
      <c r="F15" s="10">
        <v>10</v>
      </c>
      <c r="G15" s="10" t="s">
        <v>37</v>
      </c>
      <c r="H15" s="12">
        <f t="shared" si="0"/>
        <v>280</v>
      </c>
    </row>
    <row r="16" spans="1:10" ht="15.75" customHeight="1">
      <c r="A16" s="10">
        <v>1015</v>
      </c>
      <c r="B16" s="10" t="s">
        <v>38</v>
      </c>
      <c r="C16" s="10" t="s">
        <v>14</v>
      </c>
      <c r="D16" s="10" t="s">
        <v>15</v>
      </c>
      <c r="E16" s="10">
        <v>12</v>
      </c>
      <c r="F16" s="10">
        <v>25</v>
      </c>
      <c r="G16" s="10" t="s">
        <v>39</v>
      </c>
      <c r="H16" s="12">
        <f t="shared" si="0"/>
        <v>300</v>
      </c>
    </row>
    <row r="17" spans="1:8" ht="15.75" customHeight="1">
      <c r="A17" s="10">
        <v>1016</v>
      </c>
      <c r="B17" s="10" t="s">
        <v>40</v>
      </c>
      <c r="C17" s="10" t="s">
        <v>17</v>
      </c>
      <c r="D17" s="10" t="s">
        <v>19</v>
      </c>
      <c r="E17" s="10">
        <v>25</v>
      </c>
      <c r="F17" s="10">
        <v>5</v>
      </c>
      <c r="G17" s="10" t="s">
        <v>41</v>
      </c>
      <c r="H17" s="12">
        <f t="shared" si="0"/>
        <v>125</v>
      </c>
    </row>
    <row r="18" spans="1:8" ht="15.75" customHeight="1">
      <c r="A18" s="10">
        <v>1017</v>
      </c>
      <c r="B18" s="10" t="s">
        <v>42</v>
      </c>
      <c r="C18" s="10" t="s">
        <v>8</v>
      </c>
      <c r="D18" s="10" t="s">
        <v>22</v>
      </c>
      <c r="E18" s="10">
        <v>20</v>
      </c>
      <c r="F18" s="10">
        <v>8</v>
      </c>
      <c r="G18" s="10" t="s">
        <v>43</v>
      </c>
      <c r="H18" s="12">
        <f t="shared" si="0"/>
        <v>160</v>
      </c>
    </row>
    <row r="19" spans="1:8" ht="14.5">
      <c r="A19" s="10">
        <v>1018</v>
      </c>
      <c r="B19" s="10" t="s">
        <v>44</v>
      </c>
      <c r="C19" s="10" t="s">
        <v>11</v>
      </c>
      <c r="D19" s="10" t="s">
        <v>9</v>
      </c>
      <c r="E19" s="10">
        <v>10</v>
      </c>
      <c r="F19" s="10">
        <v>50</v>
      </c>
      <c r="G19" s="10" t="s">
        <v>45</v>
      </c>
      <c r="H19" s="12">
        <f t="shared" si="0"/>
        <v>500</v>
      </c>
    </row>
    <row r="20" spans="1:8" ht="14.5">
      <c r="A20" s="10">
        <v>1019</v>
      </c>
      <c r="B20" s="10" t="s">
        <v>46</v>
      </c>
      <c r="C20" s="10" t="s">
        <v>14</v>
      </c>
      <c r="D20" s="10" t="s">
        <v>12</v>
      </c>
      <c r="E20" s="10">
        <v>15</v>
      </c>
      <c r="F20" s="10">
        <v>10</v>
      </c>
      <c r="G20" s="10" t="s">
        <v>47</v>
      </c>
      <c r="H20" s="12">
        <f t="shared" si="0"/>
        <v>150</v>
      </c>
    </row>
    <row r="21" spans="1:8" ht="14.5">
      <c r="A21" s="10">
        <v>1020</v>
      </c>
      <c r="B21" s="10" t="s">
        <v>48</v>
      </c>
      <c r="C21" s="10" t="s">
        <v>17</v>
      </c>
      <c r="D21" s="10" t="s">
        <v>15</v>
      </c>
      <c r="E21" s="10">
        <v>18</v>
      </c>
      <c r="F21" s="10">
        <v>25</v>
      </c>
      <c r="G21" s="11">
        <v>45293</v>
      </c>
      <c r="H21" s="12">
        <f t="shared" si="0"/>
        <v>450</v>
      </c>
    </row>
    <row r="22" spans="1:8" ht="14.5">
      <c r="A22" s="10">
        <v>1021</v>
      </c>
      <c r="B22" s="10" t="s">
        <v>49</v>
      </c>
      <c r="C22" s="10" t="s">
        <v>8</v>
      </c>
      <c r="D22" s="10" t="s">
        <v>9</v>
      </c>
      <c r="E22" s="10">
        <v>9</v>
      </c>
      <c r="F22" s="10">
        <v>50</v>
      </c>
      <c r="G22" s="11">
        <v>45324</v>
      </c>
      <c r="H22" s="12">
        <f t="shared" si="0"/>
        <v>450</v>
      </c>
    </row>
    <row r="23" spans="1:8" ht="14.5">
      <c r="A23" s="10">
        <v>1022</v>
      </c>
      <c r="B23" s="10" t="s">
        <v>50</v>
      </c>
      <c r="C23" s="10" t="s">
        <v>11</v>
      </c>
      <c r="D23" s="10" t="s">
        <v>19</v>
      </c>
      <c r="E23" s="10">
        <v>35</v>
      </c>
      <c r="F23" s="10">
        <v>5</v>
      </c>
      <c r="G23" s="11">
        <v>45353</v>
      </c>
      <c r="H23" s="12">
        <f t="shared" si="0"/>
        <v>175</v>
      </c>
    </row>
    <row r="24" spans="1:8" ht="14.5">
      <c r="A24" s="10">
        <v>1023</v>
      </c>
      <c r="B24" s="10" t="s">
        <v>51</v>
      </c>
      <c r="C24" s="10" t="s">
        <v>14</v>
      </c>
      <c r="D24" s="10" t="s">
        <v>22</v>
      </c>
      <c r="E24" s="10">
        <v>30</v>
      </c>
      <c r="F24" s="10">
        <v>8</v>
      </c>
      <c r="G24" s="11">
        <v>45384</v>
      </c>
      <c r="H24" s="12">
        <f t="shared" si="0"/>
        <v>240</v>
      </c>
    </row>
    <row r="25" spans="1:8" ht="14.5">
      <c r="A25" s="10">
        <v>1024</v>
      </c>
      <c r="B25" s="10" t="s">
        <v>52</v>
      </c>
      <c r="C25" s="10" t="s">
        <v>17</v>
      </c>
      <c r="D25" s="10" t="s">
        <v>9</v>
      </c>
      <c r="E25" s="10">
        <v>11</v>
      </c>
      <c r="F25" s="10">
        <v>50</v>
      </c>
      <c r="G25" s="11">
        <v>45445</v>
      </c>
      <c r="H25" s="12">
        <f t="shared" si="0"/>
        <v>550</v>
      </c>
    </row>
    <row r="26" spans="1:8" ht="14.5">
      <c r="A26" s="10">
        <v>1025</v>
      </c>
      <c r="B26" s="10" t="s">
        <v>53</v>
      </c>
      <c r="C26" s="10" t="s">
        <v>8</v>
      </c>
      <c r="D26" s="10" t="s">
        <v>12</v>
      </c>
      <c r="E26" s="10">
        <v>14</v>
      </c>
      <c r="F26" s="10">
        <v>10</v>
      </c>
      <c r="G26" s="11">
        <v>45475</v>
      </c>
      <c r="H26" s="12">
        <f t="shared" si="0"/>
        <v>140</v>
      </c>
    </row>
    <row r="27" spans="1:8" ht="14.5">
      <c r="A27" s="10">
        <v>1026</v>
      </c>
      <c r="B27" s="10" t="s">
        <v>54</v>
      </c>
      <c r="C27" s="10" t="s">
        <v>11</v>
      </c>
      <c r="D27" s="10" t="s">
        <v>15</v>
      </c>
      <c r="E27" s="10">
        <v>16</v>
      </c>
      <c r="F27" s="10">
        <v>25</v>
      </c>
      <c r="G27" s="11">
        <v>45506</v>
      </c>
      <c r="H27" s="12">
        <f t="shared" si="0"/>
        <v>400</v>
      </c>
    </row>
    <row r="28" spans="1:8" ht="14.5">
      <c r="A28" s="10">
        <v>1027</v>
      </c>
      <c r="B28" s="10" t="s">
        <v>55</v>
      </c>
      <c r="C28" s="10" t="s">
        <v>14</v>
      </c>
      <c r="D28" s="10" t="s">
        <v>19</v>
      </c>
      <c r="E28" s="10">
        <v>22</v>
      </c>
      <c r="F28" s="10">
        <v>5</v>
      </c>
      <c r="G28" s="11">
        <v>45537</v>
      </c>
      <c r="H28" s="12">
        <f t="shared" si="0"/>
        <v>110</v>
      </c>
    </row>
    <row r="29" spans="1:8" ht="14.5">
      <c r="A29" s="10">
        <v>1028</v>
      </c>
      <c r="B29" s="10" t="s">
        <v>56</v>
      </c>
      <c r="C29" s="10" t="s">
        <v>17</v>
      </c>
      <c r="D29" s="10" t="s">
        <v>22</v>
      </c>
      <c r="E29" s="10">
        <v>27</v>
      </c>
      <c r="F29" s="10">
        <v>8</v>
      </c>
      <c r="G29" s="11">
        <v>45567</v>
      </c>
      <c r="H29" s="12">
        <f t="shared" si="0"/>
        <v>216</v>
      </c>
    </row>
    <row r="30" spans="1:8" ht="14.5">
      <c r="A30" s="10">
        <v>1029</v>
      </c>
      <c r="B30" s="10" t="s">
        <v>57</v>
      </c>
      <c r="C30" s="10" t="s">
        <v>8</v>
      </c>
      <c r="D30" s="10" t="s">
        <v>9</v>
      </c>
      <c r="E30" s="10">
        <v>13</v>
      </c>
      <c r="F30" s="10">
        <v>50</v>
      </c>
      <c r="G30" s="11">
        <v>45628</v>
      </c>
      <c r="H30" s="12">
        <f t="shared" si="0"/>
        <v>650</v>
      </c>
    </row>
    <row r="31" spans="1:8" ht="14.5">
      <c r="A31" s="10">
        <v>1030</v>
      </c>
      <c r="B31" s="10" t="s">
        <v>58</v>
      </c>
      <c r="C31" s="10" t="s">
        <v>11</v>
      </c>
      <c r="D31" s="10" t="s">
        <v>12</v>
      </c>
      <c r="E31" s="10">
        <v>32</v>
      </c>
      <c r="F31" s="10">
        <v>10</v>
      </c>
      <c r="G31" s="10" t="s">
        <v>59</v>
      </c>
      <c r="H31" s="12">
        <f t="shared" si="0"/>
        <v>320</v>
      </c>
    </row>
    <row r="32" spans="1:8" ht="14.5">
      <c r="A32" s="10">
        <v>1031</v>
      </c>
      <c r="B32" s="10" t="s">
        <v>60</v>
      </c>
      <c r="C32" s="10" t="s">
        <v>14</v>
      </c>
      <c r="D32" s="10" t="s">
        <v>15</v>
      </c>
      <c r="E32" s="10">
        <v>10</v>
      </c>
      <c r="F32" s="10">
        <v>25</v>
      </c>
      <c r="G32" s="10" t="s">
        <v>61</v>
      </c>
      <c r="H32" s="12">
        <f t="shared" si="0"/>
        <v>250</v>
      </c>
    </row>
    <row r="33" spans="1:8" ht="14.5">
      <c r="A33" s="10">
        <v>1032</v>
      </c>
      <c r="B33" s="10" t="s">
        <v>62</v>
      </c>
      <c r="C33" s="10" t="s">
        <v>17</v>
      </c>
      <c r="D33" s="10" t="s">
        <v>19</v>
      </c>
      <c r="E33" s="10">
        <v>18</v>
      </c>
      <c r="F33" s="10">
        <v>5</v>
      </c>
      <c r="G33" s="10" t="s">
        <v>63</v>
      </c>
      <c r="H33" s="12">
        <f t="shared" si="0"/>
        <v>90</v>
      </c>
    </row>
    <row r="34" spans="1:8" ht="14.5">
      <c r="A34" s="10">
        <v>1033</v>
      </c>
      <c r="B34" s="10" t="s">
        <v>64</v>
      </c>
      <c r="C34" s="10" t="s">
        <v>8</v>
      </c>
      <c r="D34" s="10" t="s">
        <v>22</v>
      </c>
      <c r="E34" s="10">
        <v>22</v>
      </c>
      <c r="F34" s="10">
        <v>8</v>
      </c>
      <c r="G34" s="10" t="s">
        <v>65</v>
      </c>
      <c r="H34" s="12">
        <f t="shared" si="0"/>
        <v>176</v>
      </c>
    </row>
    <row r="35" spans="1:8" ht="14.5">
      <c r="A35" s="10">
        <v>1034</v>
      </c>
      <c r="B35" s="10" t="s">
        <v>66</v>
      </c>
      <c r="C35" s="10" t="s">
        <v>11</v>
      </c>
      <c r="D35" s="10" t="s">
        <v>9</v>
      </c>
      <c r="E35" s="10">
        <v>17</v>
      </c>
      <c r="F35" s="10">
        <v>50</v>
      </c>
      <c r="G35" s="10" t="s">
        <v>67</v>
      </c>
      <c r="H35" s="12">
        <f t="shared" si="0"/>
        <v>850</v>
      </c>
    </row>
    <row r="36" spans="1:8" ht="14.5">
      <c r="A36" s="10">
        <v>1035</v>
      </c>
      <c r="B36" s="10" t="s">
        <v>68</v>
      </c>
      <c r="C36" s="10" t="s">
        <v>14</v>
      </c>
      <c r="D36" s="10" t="s">
        <v>12</v>
      </c>
      <c r="E36" s="10">
        <v>19</v>
      </c>
      <c r="F36" s="10">
        <v>10</v>
      </c>
      <c r="G36" s="10" t="s">
        <v>69</v>
      </c>
      <c r="H36" s="12">
        <f t="shared" si="0"/>
        <v>190</v>
      </c>
    </row>
    <row r="37" spans="1:8" ht="14.5">
      <c r="A37" s="10">
        <v>1036</v>
      </c>
      <c r="B37" s="10" t="s">
        <v>70</v>
      </c>
      <c r="C37" s="10" t="s">
        <v>17</v>
      </c>
      <c r="D37" s="10" t="s">
        <v>15</v>
      </c>
      <c r="E37" s="10">
        <v>15</v>
      </c>
      <c r="F37" s="10">
        <v>25</v>
      </c>
      <c r="G37" s="10" t="s">
        <v>71</v>
      </c>
      <c r="H37" s="12">
        <f t="shared" si="0"/>
        <v>375</v>
      </c>
    </row>
    <row r="38" spans="1:8" ht="14.5">
      <c r="A38" s="10">
        <v>1037</v>
      </c>
      <c r="B38" s="10" t="s">
        <v>72</v>
      </c>
      <c r="C38" s="10" t="s">
        <v>8</v>
      </c>
      <c r="D38" s="10" t="s">
        <v>19</v>
      </c>
      <c r="E38" s="10">
        <v>28</v>
      </c>
      <c r="F38" s="10">
        <v>5</v>
      </c>
      <c r="G38" s="10" t="s">
        <v>73</v>
      </c>
      <c r="H38" s="12">
        <f t="shared" si="0"/>
        <v>140</v>
      </c>
    </row>
    <row r="39" spans="1:8" ht="14.5">
      <c r="A39" s="10">
        <v>1038</v>
      </c>
      <c r="B39" s="10" t="s">
        <v>74</v>
      </c>
      <c r="C39" s="10" t="s">
        <v>11</v>
      </c>
      <c r="D39" s="10" t="s">
        <v>22</v>
      </c>
      <c r="E39" s="10">
        <v>24</v>
      </c>
      <c r="F39" s="10">
        <v>8</v>
      </c>
      <c r="G39" s="10" t="s">
        <v>75</v>
      </c>
      <c r="H39" s="12">
        <f t="shared" si="0"/>
        <v>192</v>
      </c>
    </row>
    <row r="40" spans="1:8" ht="14.5">
      <c r="A40" s="10">
        <v>1039</v>
      </c>
      <c r="B40" s="10" t="s">
        <v>76</v>
      </c>
      <c r="C40" s="10" t="s">
        <v>14</v>
      </c>
      <c r="D40" s="10" t="s">
        <v>9</v>
      </c>
      <c r="E40" s="10">
        <v>16</v>
      </c>
      <c r="F40" s="10">
        <v>50</v>
      </c>
      <c r="G40" s="10" t="s">
        <v>77</v>
      </c>
      <c r="H40" s="12">
        <f t="shared" si="0"/>
        <v>800</v>
      </c>
    </row>
    <row r="41" spans="1:8" ht="14.5">
      <c r="A41" s="10">
        <v>1040</v>
      </c>
      <c r="B41" s="10" t="s">
        <v>78</v>
      </c>
      <c r="C41" s="10" t="s">
        <v>17</v>
      </c>
      <c r="D41" s="10" t="s">
        <v>12</v>
      </c>
      <c r="E41" s="10">
        <v>27</v>
      </c>
      <c r="F41" s="10">
        <v>10</v>
      </c>
      <c r="G41" s="10" t="s">
        <v>79</v>
      </c>
      <c r="H41" s="12">
        <f t="shared" si="0"/>
        <v>270</v>
      </c>
    </row>
    <row r="42" spans="1:8" ht="14.5">
      <c r="A42" s="10">
        <v>1041</v>
      </c>
      <c r="B42" s="10" t="s">
        <v>80</v>
      </c>
      <c r="C42" s="10" t="s">
        <v>8</v>
      </c>
      <c r="D42" s="10" t="s">
        <v>15</v>
      </c>
      <c r="E42" s="10">
        <v>21</v>
      </c>
      <c r="F42" s="10">
        <v>25</v>
      </c>
      <c r="G42" s="10" t="s">
        <v>81</v>
      </c>
      <c r="H42" s="12">
        <f t="shared" si="0"/>
        <v>525</v>
      </c>
    </row>
    <row r="43" spans="1:8" ht="14.5">
      <c r="A43" s="10">
        <v>1042</v>
      </c>
      <c r="B43" s="10" t="s">
        <v>82</v>
      </c>
      <c r="C43" s="10" t="s">
        <v>11</v>
      </c>
      <c r="D43" s="10" t="s">
        <v>19</v>
      </c>
      <c r="E43" s="10">
        <v>30</v>
      </c>
      <c r="F43" s="10">
        <v>5</v>
      </c>
      <c r="G43" s="10" t="s">
        <v>83</v>
      </c>
      <c r="H43" s="12">
        <f t="shared" si="0"/>
        <v>150</v>
      </c>
    </row>
    <row r="44" spans="1:8" ht="14.5">
      <c r="A44" s="10">
        <v>1043</v>
      </c>
      <c r="B44" s="10" t="s">
        <v>84</v>
      </c>
      <c r="C44" s="10" t="s">
        <v>14</v>
      </c>
      <c r="D44" s="10" t="s">
        <v>22</v>
      </c>
      <c r="E44" s="10">
        <v>26</v>
      </c>
      <c r="F44" s="10">
        <v>8</v>
      </c>
      <c r="G44" s="11">
        <v>45294</v>
      </c>
      <c r="H44" s="12">
        <f t="shared" si="0"/>
        <v>208</v>
      </c>
    </row>
    <row r="45" spans="1:8" ht="14.5">
      <c r="A45" s="10">
        <v>1044</v>
      </c>
      <c r="B45" s="10" t="s">
        <v>85</v>
      </c>
      <c r="C45" s="10" t="s">
        <v>17</v>
      </c>
      <c r="D45" s="10" t="s">
        <v>9</v>
      </c>
      <c r="E45" s="10">
        <v>14</v>
      </c>
      <c r="F45" s="10">
        <v>50</v>
      </c>
      <c r="G45" s="11">
        <v>45325</v>
      </c>
      <c r="H45" s="12">
        <f t="shared" si="0"/>
        <v>700</v>
      </c>
    </row>
    <row r="46" spans="1:8" ht="14.5">
      <c r="A46" s="10">
        <v>1045</v>
      </c>
      <c r="B46" s="10" t="s">
        <v>86</v>
      </c>
      <c r="C46" s="10" t="s">
        <v>8</v>
      </c>
      <c r="D46" s="10" t="s">
        <v>12</v>
      </c>
      <c r="E46" s="10">
        <v>20</v>
      </c>
      <c r="F46" s="10">
        <v>10</v>
      </c>
      <c r="G46" s="11">
        <v>45354</v>
      </c>
      <c r="H46" s="12">
        <f t="shared" si="0"/>
        <v>200</v>
      </c>
    </row>
    <row r="47" spans="1:8" ht="14.5">
      <c r="A47" s="10">
        <v>1046</v>
      </c>
      <c r="B47" s="10" t="s">
        <v>87</v>
      </c>
      <c r="C47" s="10" t="s">
        <v>11</v>
      </c>
      <c r="D47" s="10" t="s">
        <v>15</v>
      </c>
      <c r="E47" s="10">
        <v>17</v>
      </c>
      <c r="F47" s="10">
        <v>25</v>
      </c>
      <c r="G47" s="11">
        <v>45385</v>
      </c>
      <c r="H47" s="12">
        <f t="shared" si="0"/>
        <v>425</v>
      </c>
    </row>
    <row r="48" spans="1:8" ht="14.5">
      <c r="A48" s="10">
        <v>1047</v>
      </c>
      <c r="B48" s="10" t="s">
        <v>88</v>
      </c>
      <c r="C48" s="10" t="s">
        <v>14</v>
      </c>
      <c r="D48" s="10" t="s">
        <v>19</v>
      </c>
      <c r="E48" s="10">
        <v>19</v>
      </c>
      <c r="F48" s="10">
        <v>5</v>
      </c>
      <c r="G48" s="11">
        <v>45415</v>
      </c>
      <c r="H48" s="12">
        <f t="shared" si="0"/>
        <v>95</v>
      </c>
    </row>
    <row r="49" spans="1:8" ht="14.5">
      <c r="A49" s="10">
        <v>1048</v>
      </c>
      <c r="B49" s="10" t="s">
        <v>89</v>
      </c>
      <c r="C49" s="10" t="s">
        <v>17</v>
      </c>
      <c r="D49" s="10" t="s">
        <v>22</v>
      </c>
      <c r="E49" s="10">
        <v>32</v>
      </c>
      <c r="F49" s="10">
        <v>8</v>
      </c>
      <c r="G49" s="11">
        <v>45446</v>
      </c>
      <c r="H49" s="12">
        <f t="shared" si="0"/>
        <v>256</v>
      </c>
    </row>
    <row r="50" spans="1:8" ht="14.5">
      <c r="A50" s="10">
        <v>1049</v>
      </c>
      <c r="B50" s="10" t="s">
        <v>90</v>
      </c>
      <c r="C50" s="10" t="s">
        <v>8</v>
      </c>
      <c r="D50" s="10" t="s">
        <v>9</v>
      </c>
      <c r="E50" s="10">
        <v>12</v>
      </c>
      <c r="F50" s="10">
        <v>50</v>
      </c>
      <c r="G50" s="11">
        <v>45476</v>
      </c>
      <c r="H50" s="12">
        <f t="shared" si="0"/>
        <v>600</v>
      </c>
    </row>
    <row r="51" spans="1:8" ht="14.5">
      <c r="A51" s="10">
        <v>1050</v>
      </c>
      <c r="B51" s="10" t="s">
        <v>91</v>
      </c>
      <c r="C51" s="10" t="s">
        <v>11</v>
      </c>
      <c r="D51" s="10" t="s">
        <v>12</v>
      </c>
      <c r="E51" s="10">
        <v>25</v>
      </c>
      <c r="F51" s="10">
        <v>10</v>
      </c>
      <c r="G51" s="11">
        <v>45507</v>
      </c>
      <c r="H51" s="12">
        <f t="shared" si="0"/>
        <v>250</v>
      </c>
    </row>
    <row r="52" spans="1:8" ht="14.5">
      <c r="A52" s="1"/>
      <c r="B52" s="1"/>
      <c r="C52" s="1"/>
      <c r="D52" s="1"/>
      <c r="E52" s="1"/>
      <c r="F52" s="1"/>
      <c r="G52" s="1"/>
      <c r="H52" s="3"/>
    </row>
    <row r="53" spans="1:8" ht="14.5">
      <c r="A53" s="1"/>
      <c r="B53" s="1"/>
      <c r="C53" s="1"/>
      <c r="D53" s="1"/>
      <c r="E53" s="1"/>
      <c r="F53" s="1"/>
      <c r="G53" s="1"/>
    </row>
  </sheetData>
  <autoFilter ref="A1:G52" xr:uid="{00000000-0009-0000-0000-000000000000}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D696-2E3D-44C4-8CEF-23DCAF81D9E3}">
  <dimension ref="A1:F4"/>
  <sheetViews>
    <sheetView workbookViewId="0">
      <selection activeCell="D14" sqref="D14"/>
    </sheetView>
  </sheetViews>
  <sheetFormatPr defaultRowHeight="12.5"/>
  <sheetData>
    <row r="1" spans="1:6" ht="15">
      <c r="A1" s="16" t="s">
        <v>99</v>
      </c>
      <c r="B1" s="16" t="s">
        <v>100</v>
      </c>
      <c r="C1" s="16" t="s">
        <v>101</v>
      </c>
      <c r="D1" s="19" t="s">
        <v>105</v>
      </c>
    </row>
    <row r="2" spans="1:6">
      <c r="A2" s="17" t="s">
        <v>102</v>
      </c>
      <c r="B2" s="18">
        <v>90</v>
      </c>
      <c r="C2" s="18">
        <v>1000</v>
      </c>
    </row>
    <row r="3" spans="1:6" ht="13">
      <c r="A3" s="17" t="s">
        <v>103</v>
      </c>
      <c r="B3" s="18">
        <v>150</v>
      </c>
      <c r="C3" s="18">
        <v>1200</v>
      </c>
      <c r="D3" s="8" t="s">
        <v>106</v>
      </c>
      <c r="E3">
        <f>AVERAGEIFS(C:C,B:B,"&gt;100",B:B,"&lt;300")</f>
        <v>1350</v>
      </c>
      <c r="F3" s="2" t="s">
        <v>118</v>
      </c>
    </row>
    <row r="4" spans="1:6">
      <c r="A4" s="17" t="s">
        <v>104</v>
      </c>
      <c r="B4" s="18">
        <v>250</v>
      </c>
      <c r="C4" s="18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7670-2F5A-4E5F-8A6B-4854B99AA8E8}">
  <dimension ref="A1:G6"/>
  <sheetViews>
    <sheetView workbookViewId="0">
      <selection sqref="A1:B4"/>
    </sheetView>
  </sheetViews>
  <sheetFormatPr defaultRowHeight="12.5"/>
  <cols>
    <col min="1" max="1" width="18" bestFit="1" customWidth="1"/>
    <col min="2" max="2" width="9.7265625" bestFit="1" customWidth="1"/>
    <col min="3" max="3" width="25.36328125" bestFit="1" customWidth="1"/>
    <col min="4" max="4" width="6.81640625" bestFit="1" customWidth="1"/>
    <col min="5" max="5" width="3" bestFit="1" customWidth="1"/>
    <col min="6" max="6" width="6.81640625" bestFit="1" customWidth="1"/>
    <col min="7" max="7" width="14.7265625" bestFit="1" customWidth="1"/>
  </cols>
  <sheetData>
    <row r="1" spans="1:7" ht="18">
      <c r="A1" s="20" t="s">
        <v>107</v>
      </c>
      <c r="B1" s="20" t="s">
        <v>100</v>
      </c>
      <c r="C1" s="22" t="s">
        <v>111</v>
      </c>
      <c r="D1" s="23">
        <f>B2</f>
        <v>500000</v>
      </c>
      <c r="E1" s="24"/>
      <c r="F1" s="24"/>
      <c r="G1" s="23" t="s">
        <v>112</v>
      </c>
    </row>
    <row r="2" spans="1:7" ht="17.5">
      <c r="A2" s="21" t="s">
        <v>108</v>
      </c>
      <c r="B2" s="21">
        <v>500000</v>
      </c>
      <c r="C2" s="22" t="s">
        <v>113</v>
      </c>
      <c r="D2" s="24">
        <f>$B$2</f>
        <v>500000</v>
      </c>
      <c r="E2" s="24"/>
      <c r="F2" s="24"/>
      <c r="G2" s="23" t="s">
        <v>114</v>
      </c>
    </row>
    <row r="3" spans="1:7" ht="17.5">
      <c r="A3" s="21" t="s">
        <v>110</v>
      </c>
      <c r="B3" s="21">
        <v>10500</v>
      </c>
      <c r="C3" s="22" t="s">
        <v>115</v>
      </c>
      <c r="D3" s="24">
        <f>B$2</f>
        <v>500000</v>
      </c>
      <c r="E3" s="23" t="s">
        <v>116</v>
      </c>
      <c r="F3" s="24">
        <f>$B2</f>
        <v>500000</v>
      </c>
      <c r="G3" s="23" t="s">
        <v>117</v>
      </c>
    </row>
    <row r="4" spans="1:7" ht="17.5">
      <c r="A4" s="21" t="s">
        <v>109</v>
      </c>
      <c r="B4" s="21">
        <v>25000</v>
      </c>
    </row>
    <row r="6" spans="1:7" ht="15.5">
      <c r="B6" s="25"/>
      <c r="C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Chart</vt:lpstr>
      <vt:lpstr>Data-Set PW</vt:lpstr>
      <vt:lpstr>Problem-3</vt:lpstr>
      <vt:lpstr>Probem-1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KSRM00028</dc:creator>
  <cp:lastModifiedBy>Debarya Dey</cp:lastModifiedBy>
  <dcterms:created xsi:type="dcterms:W3CDTF">2025-12-31T09:38:44Z</dcterms:created>
  <dcterms:modified xsi:type="dcterms:W3CDTF">2026-01-02T05:24:26Z</dcterms:modified>
</cp:coreProperties>
</file>